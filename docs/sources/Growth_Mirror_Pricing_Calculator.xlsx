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1822519-9A2A-48DF-8A76-20B96076910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hi tiết 3 gói Growth Mirror" sheetId="2" r:id="rId1"/>
    <sheet name="Pricing Calculato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F5" i="2"/>
  <c r="G21" i="2"/>
  <c r="E21" i="2"/>
  <c r="G20" i="2"/>
  <c r="E20" i="2"/>
  <c r="G19" i="2"/>
  <c r="E19" i="2"/>
  <c r="G18" i="2"/>
  <c r="E18" i="2"/>
  <c r="G17" i="2"/>
  <c r="E17" i="2"/>
  <c r="G13" i="2"/>
  <c r="E13" i="2"/>
  <c r="G14" i="2"/>
  <c r="E14" i="2"/>
  <c r="G12" i="2"/>
  <c r="E12" i="2"/>
  <c r="G11" i="2"/>
  <c r="E11" i="2"/>
  <c r="G10" i="2"/>
  <c r="E10" i="2"/>
  <c r="G7" i="2"/>
  <c r="E7" i="2"/>
  <c r="G6" i="2"/>
  <c r="E6" i="2"/>
  <c r="G5" i="2"/>
  <c r="E5" i="2"/>
  <c r="B8" i="1" s="1"/>
  <c r="C8" i="1" s="1"/>
  <c r="E9" i="2" s="1"/>
  <c r="F10" i="1"/>
  <c r="F9" i="1"/>
  <c r="F8" i="1"/>
  <c r="E22" i="2" l="1"/>
  <c r="B10" i="1"/>
  <c r="C10" i="1" s="1"/>
  <c r="E23" i="2" s="1"/>
  <c r="B9" i="1"/>
  <c r="E15" i="2"/>
  <c r="E8" i="2"/>
  <c r="D8" i="1"/>
  <c r="I8" i="1"/>
  <c r="G10" i="1"/>
  <c r="G9" i="1"/>
  <c r="G8" i="1"/>
  <c r="C9" i="1" l="1"/>
  <c r="E16" i="2" s="1"/>
  <c r="D10" i="1"/>
  <c r="I10" i="1"/>
  <c r="H10" i="1"/>
  <c r="H9" i="1"/>
  <c r="H8" i="1"/>
  <c r="I9" i="1" l="1"/>
  <c r="D9" i="1"/>
</calcChain>
</file>

<file path=xl/sharedStrings.xml><?xml version="1.0" encoding="utf-8"?>
<sst xmlns="http://schemas.openxmlformats.org/spreadsheetml/2006/main" count="56" uniqueCount="32">
  <si>
    <t>GROWTH MIRROR — PRICING CALCULATOR</t>
  </si>
  <si>
    <t>Thay đổi các ô màu vàng để thử giá bán, chi phí thực hiện, sản lượng và biên lợi nhuận mục tiêu.</t>
  </si>
  <si>
    <t>Ô nhập liệu</t>
  </si>
  <si>
    <t>Ô công thức</t>
  </si>
  <si>
    <t>Gói</t>
  </si>
  <si>
    <t>Tổng giá trị riêng lẻ</t>
  </si>
  <si>
    <t>Giá bán hiện tại</t>
  </si>
  <si>
    <t>Số tiền ưu đãi</t>
  </si>
  <si>
    <t>% ưu đãi</t>
  </si>
  <si>
    <t>Chi phí thực hiện/gói</t>
  </si>
  <si>
    <t>LN gộp/gói</t>
  </si>
  <si>
    <t>Biên LN gộp</t>
  </si>
  <si>
    <t>Giá trị / Giá bán</t>
  </si>
  <si>
    <t>CLEAR</t>
  </si>
  <si>
    <t>BUILD</t>
  </si>
  <si>
    <t>SHINE</t>
  </si>
  <si>
    <t>Cấu phần</t>
  </si>
  <si>
    <t>Số lượng</t>
  </si>
  <si>
    <t>Giá trị đơn vị</t>
  </si>
  <si>
    <t>Tổng giá trị</t>
  </si>
  <si>
    <t>Tổng chi phí</t>
  </si>
  <si>
    <t>Bộ công cụ Habit Formation &amp; EQ Development
- Habit Formation (Habit Tracker): 250.000
- EQ Development (Bộ thẻ EQ Buddy): 250.000</t>
  </si>
  <si>
    <t>Workshop “Tập thương cảm xúc” - 2 buổi</t>
  </si>
  <si>
    <t>Tham gia cộng đồng private "Tập thương cảm xúc", online webinar định kỳ hàng quý</t>
  </si>
  <si>
    <t>Phiên tư vấn hướng nghiệp với Chuyên gia đào tạo và Tư vấn hướng nghiệp</t>
  </si>
  <si>
    <t>Phiên coaching 1:1 “Vững vàng chuyển mình" với Chuyên gia khai vấn - 500h, ICF ACC</t>
  </si>
  <si>
    <t>Giá bán</t>
  </si>
  <si>
    <t>(*): Giá bán lẻ phiên coaching: 2.200.000 (~$85)
(*) Giá bán lẻ phiên tư vấn hướng nghiệp: 1.500.000</t>
  </si>
  <si>
    <t>Gói CLEAR</t>
  </si>
  <si>
    <t>Gói BUILD</t>
  </si>
  <si>
    <t>Gói SHINE</t>
  </si>
  <si>
    <t>BREAKDOWN PHÍ 3 GÓI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</si>
</sst>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&quot;đ&quot;"/>
    <numFmt numFmtId="165" formatCode="0.0%"/>
    <numFmt numFmtId="166" formatCode="0.00&quot;x&quot;"/>
    <numFmt numFmtId="168" formatCode="_(* #,##0_);_(* \(#,##0\);_(* &quot;-&quot;??_);_(@_)"/>
  </numFmts>
  <fonts count="14">
    <font>
      <sz val="11"/>
      <name val="Carlito"/>
    </font>
    <font>
      <sz val="10"/>
      <color rgb="FF24334B"/>
      <name val="Arial"/>
    </font>
    <font>
      <b/>
      <sz val="16"/>
      <color rgb="FF86134F"/>
      <name val="Arial"/>
    </font>
    <font>
      <i/>
      <sz val="10"/>
      <color rgb="FF64748B"/>
      <name val="Arial"/>
    </font>
    <font>
      <b/>
      <sz val="10"/>
      <color rgb="FF24334B"/>
      <name val="Arial"/>
    </font>
    <font>
      <b/>
      <sz val="10"/>
      <color rgb="FF2F66B8"/>
      <name val="Arial"/>
    </font>
    <font>
      <b/>
      <sz val="10"/>
      <color rgb="FFFFFFFF"/>
      <name val="Arial"/>
    </font>
    <font>
      <b/>
      <sz val="10"/>
      <color rgb="FF86134F"/>
      <name val="Arial"/>
    </font>
    <font>
      <b/>
      <sz val="10"/>
      <color rgb="FF6F4ED7"/>
      <name val="Arial"/>
    </font>
    <font>
      <b/>
      <sz val="10"/>
      <color rgb="FF1FAFBA"/>
      <name val="Arial"/>
    </font>
    <font>
      <sz val="11"/>
      <name val="Carlito"/>
    </font>
    <font>
      <i/>
      <sz val="9"/>
      <color rgb="FFFF0000"/>
      <name val="Arial"/>
      <family val="2"/>
    </font>
    <font>
      <b/>
      <sz val="10"/>
      <color rgb="FF24334B"/>
      <name val="Arial"/>
      <family val="2"/>
    </font>
    <font>
      <b/>
      <sz val="16"/>
      <color rgb="FF86134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EF5FF"/>
      </patternFill>
    </fill>
    <fill>
      <patternFill patternType="solid">
        <fgColor rgb="FF86134F"/>
      </patternFill>
    </fill>
    <fill>
      <patternFill patternType="solid">
        <fgColor rgb="FFFFF0F6"/>
      </patternFill>
    </fill>
    <fill>
      <patternFill patternType="solid">
        <fgColor rgb="FFF4F0FF"/>
      </patternFill>
    </fill>
    <fill>
      <patternFill patternType="solid">
        <fgColor rgb="FFEAFBFC"/>
      </patternFill>
    </fill>
    <fill>
      <patternFill patternType="solid">
        <fgColor rgb="FF2F66B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 style="thin">
        <color rgb="FFD7DFEA"/>
      </bottom>
      <diagonal/>
    </border>
    <border>
      <left style="thin">
        <color rgb="FFFFFFFF"/>
      </left>
      <right style="thin">
        <color rgb="FFFFFFFF"/>
      </right>
      <top/>
      <bottom style="thin">
        <color rgb="FFD7DFEA"/>
      </bottom>
      <diagonal/>
    </border>
    <border>
      <left style="thin">
        <color rgb="FFFFFFFF"/>
      </left>
      <right/>
      <top/>
      <bottom style="thin">
        <color rgb="FFD7DFEA"/>
      </bottom>
      <diagonal/>
    </border>
    <border>
      <left/>
      <right/>
      <top style="thin">
        <color rgb="FFD7DFEA"/>
      </top>
      <bottom style="thin">
        <color rgb="FFD7DFEA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164" fontId="1" fillId="3" borderId="4" xfId="0" applyNumberFormat="1" applyFont="1" applyFill="1" applyBorder="1" applyAlignment="1">
      <alignment vertical="center" wrapText="1"/>
    </xf>
    <xf numFmtId="164" fontId="1" fillId="2" borderId="4" xfId="0" applyNumberFormat="1" applyFont="1" applyFill="1" applyBorder="1" applyAlignment="1">
      <alignment vertical="center" wrapText="1"/>
    </xf>
    <xf numFmtId="165" fontId="1" fillId="3" borderId="4" xfId="0" applyNumberFormat="1" applyFont="1" applyFill="1" applyBorder="1" applyAlignment="1">
      <alignment vertical="center" wrapText="1"/>
    </xf>
    <xf numFmtId="166" fontId="1" fillId="3" borderId="4" xfId="0" applyNumberFormat="1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9" fillId="7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1" fillId="0" borderId="4" xfId="0" applyFont="1" applyBorder="1" applyAlignment="1">
      <alignment vertical="center" wrapText="1"/>
    </xf>
    <xf numFmtId="164" fontId="12" fillId="9" borderId="4" xfId="0" applyNumberFormat="1" applyFont="1" applyFill="1" applyBorder="1" applyAlignment="1">
      <alignment horizontal="center" vertical="center" wrapText="1"/>
    </xf>
    <xf numFmtId="164" fontId="1" fillId="9" borderId="4" xfId="0" applyNumberFormat="1" applyFont="1" applyFill="1" applyBorder="1" applyAlignment="1">
      <alignment vertical="center" wrapText="1"/>
    </xf>
    <xf numFmtId="164" fontId="12" fillId="9" borderId="4" xfId="0" applyNumberFormat="1" applyFont="1" applyFill="1" applyBorder="1" applyAlignment="1">
      <alignment vertical="center" wrapText="1"/>
    </xf>
    <xf numFmtId="0" fontId="12" fillId="9" borderId="0" xfId="0" applyFont="1" applyFill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168" fontId="12" fillId="9" borderId="0" xfId="1" applyNumberFormat="1" applyFont="1" applyFill="1" applyAlignment="1">
      <alignment vertical="center"/>
    </xf>
    <xf numFmtId="0" fontId="13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F4ED7"/>
  </sheetPr>
  <dimension ref="A1:N40"/>
  <sheetViews>
    <sheetView showGridLines="0" workbookViewId="0">
      <pane ySplit="4" topLeftCell="A5" activePane="bottomLeft" state="frozen"/>
      <selection pane="bottomLeft" activeCell="A3" sqref="A3"/>
    </sheetView>
  </sheetViews>
  <sheetFormatPr defaultRowHeight="13.8"/>
  <cols>
    <col min="1" max="1" width="14" customWidth="1"/>
    <col min="2" max="2" width="48" customWidth="1"/>
    <col min="3" max="3" width="12" style="22" customWidth="1"/>
    <col min="4" max="4" width="15.69921875" customWidth="1"/>
    <col min="5" max="7" width="20" customWidth="1"/>
  </cols>
  <sheetData>
    <row r="1" spans="1:14">
      <c r="A1" s="1"/>
      <c r="B1" s="1"/>
      <c r="C1" s="19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1">
      <c r="A2" s="35" t="s">
        <v>31</v>
      </c>
      <c r="B2" s="27"/>
      <c r="C2" s="27"/>
      <c r="D2" s="27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1"/>
      <c r="C3" s="19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8.05" customHeight="1">
      <c r="A4" s="15" t="s">
        <v>4</v>
      </c>
      <c r="B4" s="16" t="s">
        <v>16</v>
      </c>
      <c r="C4" s="16" t="s">
        <v>17</v>
      </c>
      <c r="D4" s="16" t="s">
        <v>18</v>
      </c>
      <c r="E4" s="16" t="s">
        <v>19</v>
      </c>
      <c r="F4" s="16" t="s">
        <v>26</v>
      </c>
      <c r="G4" s="17" t="s">
        <v>20</v>
      </c>
      <c r="H4" s="1"/>
      <c r="I4" s="1"/>
      <c r="J4" s="1"/>
      <c r="K4" s="1"/>
      <c r="L4" s="1"/>
      <c r="M4" s="1"/>
      <c r="N4" s="1"/>
    </row>
    <row r="5" spans="1:14" ht="42.6" customHeight="1">
      <c r="A5" s="7" t="s">
        <v>13</v>
      </c>
      <c r="B5" s="14" t="s">
        <v>21</v>
      </c>
      <c r="C5" s="20">
        <v>2</v>
      </c>
      <c r="D5" s="9">
        <v>250000</v>
      </c>
      <c r="E5" s="8">
        <f>C5*D5</f>
        <v>500000</v>
      </c>
      <c r="F5" s="9">
        <f>178000*2</f>
        <v>356000</v>
      </c>
      <c r="G5" s="8">
        <f>IF(F5="","",C5*F5)</f>
        <v>712000</v>
      </c>
      <c r="H5" s="1"/>
      <c r="I5" s="1"/>
      <c r="J5" s="1"/>
      <c r="K5" s="1"/>
      <c r="L5" s="1"/>
      <c r="M5" s="1"/>
      <c r="N5" s="1"/>
    </row>
    <row r="6" spans="1:14" ht="28.05" customHeight="1">
      <c r="A6" s="7" t="s">
        <v>13</v>
      </c>
      <c r="B6" s="14" t="s">
        <v>22</v>
      </c>
      <c r="C6" s="20">
        <v>2</v>
      </c>
      <c r="D6" s="9">
        <v>500000</v>
      </c>
      <c r="E6" s="8">
        <f>C6*D6</f>
        <v>1000000</v>
      </c>
      <c r="F6" s="9"/>
      <c r="G6" s="8" t="str">
        <f>IF(F6="","",C6*F6)</f>
        <v/>
      </c>
      <c r="H6" s="1"/>
      <c r="I6" s="1"/>
      <c r="J6" s="1"/>
      <c r="K6" s="1"/>
      <c r="L6" s="1"/>
      <c r="M6" s="1"/>
      <c r="N6" s="1"/>
    </row>
    <row r="7" spans="1:14" ht="28.05" customHeight="1">
      <c r="A7" s="7" t="s">
        <v>13</v>
      </c>
      <c r="B7" s="14" t="s">
        <v>25</v>
      </c>
      <c r="C7" s="20">
        <v>1</v>
      </c>
      <c r="D7" s="9">
        <v>1000000</v>
      </c>
      <c r="E7" s="8">
        <f>C7*D7</f>
        <v>1000000</v>
      </c>
      <c r="F7" s="9"/>
      <c r="G7" s="8" t="str">
        <f>IF(F7="","",C7*F7)</f>
        <v/>
      </c>
      <c r="H7" s="1"/>
      <c r="I7" s="1"/>
      <c r="J7" s="1"/>
      <c r="K7" s="1"/>
      <c r="L7" s="1"/>
      <c r="M7" s="1"/>
      <c r="N7" s="1"/>
    </row>
    <row r="8" spans="1:14" ht="28.05" customHeight="1">
      <c r="A8" s="14"/>
      <c r="B8" s="28" t="s">
        <v>27</v>
      </c>
      <c r="C8" s="21"/>
      <c r="D8" s="18"/>
      <c r="E8" s="18">
        <f>SUM(E5:E7)</f>
        <v>2500000</v>
      </c>
      <c r="F8" s="18"/>
      <c r="G8" s="18"/>
      <c r="H8" s="1"/>
      <c r="I8" s="1"/>
      <c r="J8" s="1"/>
      <c r="K8" s="1"/>
      <c r="L8" s="1"/>
      <c r="M8" s="1"/>
      <c r="N8" s="1"/>
    </row>
    <row r="9" spans="1:14" ht="28.05" customHeight="1">
      <c r="A9" s="14"/>
      <c r="B9" s="28"/>
      <c r="C9" s="21"/>
      <c r="D9" s="29" t="s">
        <v>28</v>
      </c>
      <c r="E9" s="30">
        <f>'Pricing Calculator'!C8</f>
        <v>1750000</v>
      </c>
      <c r="F9" s="18"/>
      <c r="G9" s="18"/>
      <c r="H9" s="1"/>
      <c r="I9" s="1"/>
      <c r="J9" s="1"/>
      <c r="K9" s="1"/>
      <c r="L9" s="1"/>
      <c r="M9" s="1"/>
      <c r="N9" s="1"/>
    </row>
    <row r="10" spans="1:14" ht="40.799999999999997" customHeight="1">
      <c r="A10" s="12" t="s">
        <v>14</v>
      </c>
      <c r="B10" s="14" t="s">
        <v>21</v>
      </c>
      <c r="C10" s="20">
        <v>2</v>
      </c>
      <c r="D10" s="9">
        <v>250000</v>
      </c>
      <c r="E10" s="8">
        <f>C10*D10</f>
        <v>500000</v>
      </c>
      <c r="F10" s="9"/>
      <c r="G10" s="8" t="str">
        <f>IF(F10="","",C10*F10)</f>
        <v/>
      </c>
      <c r="H10" s="1"/>
      <c r="I10" s="1"/>
      <c r="J10" s="1"/>
      <c r="K10" s="1"/>
      <c r="L10" s="1"/>
      <c r="M10" s="1"/>
      <c r="N10" s="1"/>
    </row>
    <row r="11" spans="1:14" ht="28.05" customHeight="1">
      <c r="A11" s="12" t="s">
        <v>14</v>
      </c>
      <c r="B11" s="14" t="s">
        <v>22</v>
      </c>
      <c r="C11" s="20">
        <v>2</v>
      </c>
      <c r="D11" s="9">
        <v>500000</v>
      </c>
      <c r="E11" s="8">
        <f>C11*D11</f>
        <v>1000000</v>
      </c>
      <c r="F11" s="9"/>
      <c r="G11" s="8" t="str">
        <f>IF(F11="","",C11*F11)</f>
        <v/>
      </c>
      <c r="H11" s="1"/>
      <c r="I11" s="1"/>
      <c r="J11" s="1"/>
      <c r="K11" s="1"/>
      <c r="L11" s="1"/>
      <c r="M11" s="1"/>
      <c r="N11" s="1"/>
    </row>
    <row r="12" spans="1:14" ht="28.05" customHeight="1">
      <c r="A12" s="12" t="s">
        <v>14</v>
      </c>
      <c r="B12" s="14" t="s">
        <v>25</v>
      </c>
      <c r="C12" s="20">
        <v>3</v>
      </c>
      <c r="D12" s="9">
        <v>1000000</v>
      </c>
      <c r="E12" s="8">
        <f>C12*D12</f>
        <v>3000000</v>
      </c>
      <c r="F12" s="9"/>
      <c r="G12" s="8" t="str">
        <f>IF(F12="","",C12*F12)</f>
        <v/>
      </c>
      <c r="H12" s="1"/>
      <c r="I12" s="1"/>
      <c r="J12" s="1"/>
      <c r="K12" s="1"/>
      <c r="L12" s="1"/>
      <c r="M12" s="1"/>
      <c r="N12" s="1"/>
    </row>
    <row r="13" spans="1:14" ht="28.05" customHeight="1">
      <c r="A13" s="12" t="s">
        <v>14</v>
      </c>
      <c r="B13" s="14" t="s">
        <v>24</v>
      </c>
      <c r="C13" s="20">
        <v>1</v>
      </c>
      <c r="D13" s="9">
        <v>1000000</v>
      </c>
      <c r="E13" s="8">
        <f>C13*D13</f>
        <v>1000000</v>
      </c>
      <c r="F13" s="9"/>
      <c r="G13" s="8" t="str">
        <f>IF(F13="","",C13*F13)</f>
        <v/>
      </c>
      <c r="H13" s="1"/>
      <c r="I13" s="1"/>
      <c r="J13" s="1"/>
      <c r="K13" s="1"/>
      <c r="L13" s="1"/>
      <c r="M13" s="1"/>
      <c r="N13" s="1"/>
    </row>
    <row r="14" spans="1:14" ht="28.05" customHeight="1">
      <c r="A14" s="12" t="s">
        <v>14</v>
      </c>
      <c r="B14" s="14" t="s">
        <v>23</v>
      </c>
      <c r="C14" s="20">
        <v>1</v>
      </c>
      <c r="D14" s="9">
        <v>300000</v>
      </c>
      <c r="E14" s="8">
        <f>C14*D14</f>
        <v>300000</v>
      </c>
      <c r="F14" s="9"/>
      <c r="G14" s="8" t="str">
        <f>IF(F14="","",C14*F14)</f>
        <v/>
      </c>
      <c r="H14" s="1"/>
      <c r="I14" s="1"/>
      <c r="J14" s="1"/>
      <c r="K14" s="1"/>
      <c r="L14" s="1"/>
      <c r="M14" s="1"/>
      <c r="N14" s="1"/>
    </row>
    <row r="15" spans="1:14" ht="22.8" customHeight="1">
      <c r="B15" s="28" t="s">
        <v>27</v>
      </c>
      <c r="E15" s="23">
        <f>SUM(E10:E14)</f>
        <v>5800000</v>
      </c>
    </row>
    <row r="16" spans="1:14" ht="28.05" customHeight="1">
      <c r="A16" s="14"/>
      <c r="B16" s="14"/>
      <c r="C16" s="21"/>
      <c r="D16" s="29" t="s">
        <v>29</v>
      </c>
      <c r="E16" s="31">
        <f>'Pricing Calculator'!C9</f>
        <v>2900000</v>
      </c>
      <c r="F16" s="18"/>
      <c r="G16" s="18"/>
      <c r="H16" s="1"/>
      <c r="I16" s="1"/>
      <c r="J16" s="1"/>
      <c r="K16" s="1"/>
      <c r="L16" s="1"/>
      <c r="M16" s="1"/>
      <c r="N16" s="1"/>
    </row>
    <row r="17" spans="1:14" ht="43.2" customHeight="1">
      <c r="A17" s="13" t="s">
        <v>15</v>
      </c>
      <c r="B17" s="14" t="s">
        <v>21</v>
      </c>
      <c r="C17" s="20">
        <v>2</v>
      </c>
      <c r="D17" s="9">
        <v>250000</v>
      </c>
      <c r="E17" s="8">
        <f>C17*D17</f>
        <v>500000</v>
      </c>
      <c r="F17" s="9"/>
      <c r="G17" s="8" t="str">
        <f>IF(F17="","",C17*F17)</f>
        <v/>
      </c>
      <c r="H17" s="1"/>
      <c r="I17" s="1"/>
      <c r="J17" s="1"/>
      <c r="K17" s="1"/>
      <c r="L17" s="1"/>
      <c r="M17" s="1"/>
      <c r="N17" s="1"/>
    </row>
    <row r="18" spans="1:14" ht="28.05" customHeight="1">
      <c r="A18" s="13" t="s">
        <v>15</v>
      </c>
      <c r="B18" s="14" t="s">
        <v>22</v>
      </c>
      <c r="C18" s="20">
        <v>2</v>
      </c>
      <c r="D18" s="9">
        <v>500000</v>
      </c>
      <c r="E18" s="8">
        <f>C18*D18</f>
        <v>1000000</v>
      </c>
      <c r="F18" s="9"/>
      <c r="G18" s="8" t="str">
        <f>IF(F18="","",C18*F18)</f>
        <v/>
      </c>
      <c r="H18" s="1"/>
      <c r="I18" s="1"/>
      <c r="J18" s="1"/>
      <c r="K18" s="1"/>
      <c r="L18" s="1"/>
      <c r="M18" s="1"/>
      <c r="N18" s="1"/>
    </row>
    <row r="19" spans="1:14" ht="28.05" customHeight="1">
      <c r="A19" s="13" t="s">
        <v>15</v>
      </c>
      <c r="B19" s="14" t="s">
        <v>25</v>
      </c>
      <c r="C19" s="20">
        <v>6</v>
      </c>
      <c r="D19" s="9">
        <v>1000000</v>
      </c>
      <c r="E19" s="8">
        <f>C19*D19</f>
        <v>6000000</v>
      </c>
      <c r="F19" s="9"/>
      <c r="G19" s="8" t="str">
        <f>IF(F19="","",C19*F19)</f>
        <v/>
      </c>
      <c r="H19" s="1"/>
      <c r="I19" s="1"/>
      <c r="J19" s="1"/>
      <c r="K19" s="1"/>
      <c r="L19" s="1"/>
      <c r="M19" s="1"/>
      <c r="N19" s="1"/>
    </row>
    <row r="20" spans="1:14" ht="28.05" customHeight="1">
      <c r="A20" s="13" t="s">
        <v>15</v>
      </c>
      <c r="B20" s="14" t="s">
        <v>24</v>
      </c>
      <c r="C20" s="20">
        <v>3</v>
      </c>
      <c r="D20" s="9">
        <v>1000000</v>
      </c>
      <c r="E20" s="8">
        <f>C20*D20</f>
        <v>3000000</v>
      </c>
      <c r="F20" s="9"/>
      <c r="G20" s="8" t="str">
        <f>IF(F20="","",C20*F20)</f>
        <v/>
      </c>
      <c r="H20" s="1"/>
      <c r="I20" s="1"/>
      <c r="J20" s="1"/>
      <c r="K20" s="1"/>
      <c r="L20" s="1"/>
      <c r="M20" s="1"/>
      <c r="N20" s="1"/>
    </row>
    <row r="21" spans="1:14" ht="28.05" customHeight="1">
      <c r="A21" s="13" t="s">
        <v>15</v>
      </c>
      <c r="B21" s="14" t="s">
        <v>23</v>
      </c>
      <c r="C21" s="20">
        <v>1</v>
      </c>
      <c r="D21" s="9">
        <v>300000</v>
      </c>
      <c r="E21" s="8">
        <f>C21*D21</f>
        <v>300000</v>
      </c>
      <c r="F21" s="9"/>
      <c r="G21" s="8" t="str">
        <f>IF(F21="","",C21*F21)</f>
        <v/>
      </c>
      <c r="H21" s="1"/>
      <c r="I21" s="1"/>
      <c r="J21" s="1"/>
      <c r="K21" s="1"/>
      <c r="L21" s="1"/>
      <c r="M21" s="1"/>
      <c r="N21" s="1"/>
    </row>
    <row r="22" spans="1:14" ht="22.8">
      <c r="A22" s="1"/>
      <c r="B22" s="28" t="s">
        <v>27</v>
      </c>
      <c r="C22" s="19"/>
      <c r="D22" s="1"/>
      <c r="E22" s="33">
        <f>SUM(E17:E21)</f>
        <v>10800000</v>
      </c>
      <c r="F22" s="1"/>
      <c r="G22" s="1"/>
      <c r="H22" s="1"/>
      <c r="I22" s="1"/>
      <c r="J22" s="1"/>
      <c r="K22" s="1"/>
      <c r="L22" s="1"/>
      <c r="M22" s="1"/>
      <c r="N22" s="1"/>
    </row>
    <row r="23" spans="1:14" ht="27" customHeight="1">
      <c r="A23" s="1"/>
      <c r="B23" s="1"/>
      <c r="C23" s="19"/>
      <c r="D23" s="32" t="s">
        <v>30</v>
      </c>
      <c r="E23" s="34">
        <f>'Pricing Calculator'!C10</f>
        <v>4320000</v>
      </c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1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</sheetData>
  <mergeCells count="1"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6134F"/>
  </sheetPr>
  <dimension ref="A1:J27"/>
  <sheetViews>
    <sheetView showGridLines="0" tabSelected="1" workbookViewId="0">
      <selection activeCell="N8" sqref="N8"/>
    </sheetView>
  </sheetViews>
  <sheetFormatPr defaultRowHeight="13.8"/>
  <cols>
    <col min="1" max="1" width="20" customWidth="1"/>
    <col min="2" max="2" width="18" customWidth="1"/>
    <col min="3" max="4" width="16" customWidth="1"/>
    <col min="5" max="5" width="13" customWidth="1"/>
    <col min="6" max="8" width="10.796875" hidden="1" customWidth="1"/>
    <col min="9" max="9" width="1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4" customHeight="1">
      <c r="A2" s="24" t="s">
        <v>0</v>
      </c>
      <c r="B2" s="25"/>
      <c r="C2" s="25"/>
      <c r="D2" s="25"/>
      <c r="E2" s="25"/>
      <c r="F2" s="25"/>
      <c r="G2" s="4"/>
      <c r="H2" s="4"/>
      <c r="I2" s="4"/>
      <c r="J2" s="1"/>
    </row>
    <row r="3" spans="1:10">
      <c r="A3" s="26" t="s">
        <v>1</v>
      </c>
      <c r="B3" s="25"/>
      <c r="C3" s="25"/>
      <c r="D3" s="25"/>
      <c r="E3" s="25"/>
      <c r="F3" s="25"/>
      <c r="G3" s="25"/>
      <c r="H3" s="25"/>
      <c r="I3" s="4"/>
      <c r="J3" s="1"/>
    </row>
    <row r="4" spans="1:10">
      <c r="A4" s="4"/>
      <c r="B4" s="4"/>
      <c r="C4" s="4"/>
      <c r="D4" s="4"/>
      <c r="E4" s="4"/>
      <c r="F4" s="4"/>
      <c r="G4" s="4"/>
      <c r="H4" s="4"/>
      <c r="I4" s="4"/>
      <c r="J4" s="1"/>
    </row>
    <row r="5" spans="1:10">
      <c r="A5" s="5" t="s">
        <v>2</v>
      </c>
      <c r="B5" s="6" t="s">
        <v>3</v>
      </c>
      <c r="C5" s="4"/>
      <c r="D5" s="4"/>
      <c r="E5" s="4"/>
      <c r="F5" s="4"/>
      <c r="G5" s="4"/>
      <c r="H5" s="4"/>
      <c r="I5" s="4"/>
      <c r="J5" s="1"/>
    </row>
    <row r="6" spans="1:10">
      <c r="A6" s="4"/>
      <c r="B6" s="4"/>
      <c r="C6" s="4"/>
      <c r="D6" s="4"/>
      <c r="E6" s="4"/>
      <c r="F6" s="4"/>
      <c r="G6" s="4"/>
      <c r="H6" s="4"/>
      <c r="I6" s="4"/>
      <c r="J6" s="1"/>
    </row>
    <row r="7" spans="1:10" ht="34.049999999999997" customHeigh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1"/>
    </row>
    <row r="8" spans="1:10" ht="34.049999999999997" customHeight="1">
      <c r="A8" s="7" t="s">
        <v>13</v>
      </c>
      <c r="B8" s="8">
        <f>SUM('Chi tiết 3 gói Growth Mirror'!E5:E7)</f>
        <v>2500000</v>
      </c>
      <c r="C8" s="9">
        <f>B8*(100%-E8)</f>
        <v>1750000</v>
      </c>
      <c r="D8" s="8">
        <f>B8-C8</f>
        <v>750000</v>
      </c>
      <c r="E8" s="10">
        <f>30%</f>
        <v>0.3</v>
      </c>
      <c r="F8" s="8" t="str">
        <f>IF(COUNTBLANK('Chi tiết 3 gói Growth Mirror'!F5:F7)&gt;0,"",SUM('Chi tiết 3 gói Growth Mirror'!G5:G7))</f>
        <v/>
      </c>
      <c r="G8" s="8" t="str">
        <f>IF(F8="","",C8-F8)</f>
        <v/>
      </c>
      <c r="H8" s="10" t="str">
        <f>IF(G8="","",G8/C8)</f>
        <v/>
      </c>
      <c r="I8" s="11">
        <f>IF(C8=0,0,B8/C8)</f>
        <v>1.4285714285714286</v>
      </c>
      <c r="J8" s="1"/>
    </row>
    <row r="9" spans="1:10" ht="34.049999999999997" customHeight="1">
      <c r="A9" s="12" t="s">
        <v>14</v>
      </c>
      <c r="B9" s="8">
        <f>SUM('Chi tiết 3 gói Growth Mirror'!E10:E14)</f>
        <v>5800000</v>
      </c>
      <c r="C9" s="9">
        <f t="shared" ref="C9:C10" si="0">B9*(100%-E9)</f>
        <v>2900000</v>
      </c>
      <c r="D9" s="8">
        <f>B9-C9</f>
        <v>2900000</v>
      </c>
      <c r="E9" s="10">
        <v>0.5</v>
      </c>
      <c r="F9" s="8" t="str">
        <f>IF(COUNTBLANK('Chi tiết 3 gói Growth Mirror'!F10:F14)&gt;0,"",SUM('Chi tiết 3 gói Growth Mirror'!G10:G14))</f>
        <v/>
      </c>
      <c r="G9" s="8" t="str">
        <f>IF(F9="","",C9-F9)</f>
        <v/>
      </c>
      <c r="H9" s="10" t="str">
        <f>IF(G9="","",G9/C9)</f>
        <v/>
      </c>
      <c r="I9" s="11">
        <f>IF(C9=0,0,B9/C9)</f>
        <v>2</v>
      </c>
      <c r="J9" s="1"/>
    </row>
    <row r="10" spans="1:10" ht="34.049999999999997" customHeight="1">
      <c r="A10" s="13" t="s">
        <v>15</v>
      </c>
      <c r="B10" s="8">
        <f>SUM('Chi tiết 3 gói Growth Mirror'!E17:E21)</f>
        <v>10800000</v>
      </c>
      <c r="C10" s="9">
        <f t="shared" si="0"/>
        <v>4320000</v>
      </c>
      <c r="D10" s="8">
        <f>B10-C10</f>
        <v>6480000</v>
      </c>
      <c r="E10" s="10">
        <v>0.6</v>
      </c>
      <c r="F10" s="8" t="str">
        <f>IF(COUNTBLANK('Chi tiết 3 gói Growth Mirror'!F17:F21)&gt;0,"",SUM('Chi tiết 3 gói Growth Mirror'!G17:G21))</f>
        <v/>
      </c>
      <c r="G10" s="8" t="str">
        <f>IF(F10="","",C10-F10)</f>
        <v/>
      </c>
      <c r="H10" s="10" t="str">
        <f>IF(G10="","",G10/C10)</f>
        <v/>
      </c>
      <c r="I10" s="11">
        <f>IF(C10=0,0,B10/C10)</f>
        <v>2.5</v>
      </c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2">
    <mergeCell ref="A2:F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3 gói Growth Mirror</vt:lpstr>
      <vt:lpstr>Pricing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Hạnh Lương</cp:lastModifiedBy>
  <dcterms:modified xsi:type="dcterms:W3CDTF">2026-10-03T02:46:07Z</dcterms:modified>
</cp:coreProperties>
</file>